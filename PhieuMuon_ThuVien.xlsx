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NH\Downloads\"/>
    </mc:Choice>
  </mc:AlternateContent>
  <xr:revisionPtr revIDLastSave="0" documentId="13_ncr:1_{9EF50928-E050-4293-BB3B-3930A6A365A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hieuMuon" sheetId="1" r:id="rId1"/>
    <sheet name="DanhMucSach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E12" i="1"/>
  <c r="E11" i="1"/>
</calcChain>
</file>

<file path=xl/sharedStrings.xml><?xml version="1.0" encoding="utf-8"?>
<sst xmlns="http://schemas.openxmlformats.org/spreadsheetml/2006/main" count="66" uniqueCount="60">
  <si>
    <t>MSSV</t>
  </si>
  <si>
    <t>Họ Tên</t>
  </si>
  <si>
    <t>Mã Sách</t>
  </si>
  <si>
    <t>Ngày Mượn</t>
  </si>
  <si>
    <t>Tình Trạng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</si>
  <si>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</si>
  <si>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</si>
  <si>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</si>
  <si>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</si>
  <si>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</si>
  <si>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</si>
  <si>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</si>
  <si>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</si>
  <si>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Tổng cộng</t>
  </si>
  <si>
    <t>SV003</t>
  </si>
  <si>
    <t>Lê Văn Cường</t>
  </si>
  <si>
    <t>S003</t>
  </si>
  <si>
    <t>Đã trả</t>
  </si>
  <si>
    <t>SV004</t>
  </si>
  <si>
    <t>Phạm Thu Hà</t>
  </si>
  <si>
    <t>S099</t>
  </si>
  <si>
    <t>Lỗi</t>
  </si>
  <si>
    <t>Vị trí (hàng)</t>
  </si>
  <si>
    <t>Quy tắc bị vi phạm</t>
  </si>
  <si>
    <t>Quy tắc 1: Header hàng đầu không merge</t>
  </si>
  <si>
    <t>Quy tắc 4: Không để hàng trống trong data</t>
  </si>
  <si>
    <t>Khái niệm</t>
  </si>
  <si>
    <t>Là gì</t>
  </si>
  <si>
    <t>Ví dụ</t>
  </si>
  <si>
    <t>Record</t>
  </si>
  <si>
    <t>1 hàng = 1 phiếu mượn</t>
  </si>
  <si>
    <t>SV001 | Nguyễn Văn An | S001 | 01/10/2026 | Đang mượn</t>
  </si>
  <si>
    <t>Field</t>
  </si>
  <si>
    <t>1 cột = 1 loại thông tin</t>
  </si>
  <si>
    <t>Cột 'Tình Trạng' (Đang mượn / Quá hạn / Đã trả) hoặc cột 'Họ Tên'</t>
  </si>
  <si>
    <t>Bước 1</t>
  </si>
  <si>
    <t>Click vào 1 ô bất kỳ trong bảng (ví dụ A1).</t>
  </si>
  <si>
    <t>Bước 2</t>
  </si>
  <si>
    <t>Nhấn Ctrl+Shift+L, mũi tên lọc hiện ở hàng tiêu đề.</t>
  </si>
  <si>
    <t>Bước 3</t>
  </si>
  <si>
    <t>Bấm mũi tên ở cột 'Tình Trạng'.</t>
  </si>
  <si>
    <t>Bước 4</t>
  </si>
  <si>
    <t>Bước 5</t>
  </si>
  <si>
    <t>Kết quả: chỉ còn SV002 – Trần Thị Bình.</t>
  </si>
  <si>
    <t>Hàng 1: ô A1:E1 bị merge làm tiêu đề “DANH SÁCH MƯỢN SÁCH THÁNG 10”</t>
  </si>
  <si>
    <t>Hàng 5: để trống hoàn toàn</t>
  </si>
  <si>
    <t>Hàng 6: dòng “Tổng cộng</t>
  </si>
  <si>
    <t>"2 phiếu” nằm lẫn giữa vùng dữ liệu</t>
  </si>
  <si>
    <t xml:space="preserve"> Record và Field</t>
  </si>
  <si>
    <t xml:space="preserve"> Bật AutoFilter </t>
  </si>
  <si>
    <t>Bỏ chọn Select All, tick Quá hạn, bấm OK.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</si>
  <si>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</si>
  <si>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</si>
  <si>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</si>
  <si>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</si>
  <si>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</si>
  <si>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</si>
  <si>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</si>
  <si>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</si>
  <si>
    <t>Tên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</si>
</sst>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&quot; phiếu&quot;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/>
        <bgColor rgb="FF003366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0" xfId="0" applyFont="1"/>
    <xf numFmtId="164" fontId="2" fillId="0" borderId="1" xfId="0" applyNumberFormat="1" applyFont="1" applyBorder="1" applyAlignment="1">
      <alignment horizontal="center"/>
    </xf>
    <xf numFmtId="165" fontId="3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4" fillId="0" borderId="0" xfId="0" applyFont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horizontal="center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selection activeCell="F10" sqref="F10"/>
    </sheetView>
  </sheetViews>
  <sheetFormatPr defaultColWidth="8.6640625" defaultRowHeight="14.4" x14ac:dyDescent="0.3"/>
  <cols>
    <col min="1" max="1" width="12" customWidth="1"/>
    <col min="2" max="2" width="21.44140625" customWidth="1"/>
    <col min="3" max="3" width="44.88671875" customWidth="1"/>
    <col min="4" max="5" width="14" customWidth="1"/>
    <col min="6" max="6" width="23.88671875" customWidth="1"/>
    <col min="7" max="7" width="55" customWidth="1"/>
  </cols>
  <sheetData>
    <row r="1" spans="1:6" ht="28.8" x14ac:dyDescent="0.3">
      <c r="A1" s="10" t="s">
        <v>21</v>
      </c>
      <c r="B1" s="10" t="s">
        <v>22</v>
      </c>
      <c r="C1" s="10" t="s">
        <v>23</v>
      </c>
    </row>
    <row r="2" spans="1:6" ht="60" customHeight="1" x14ac:dyDescent="0.3">
      <c r="A2" s="9">
        <v>1</v>
      </c>
      <c r="B2" s="11" t="s">
        <v>44</v>
      </c>
      <c r="C2" s="9" t="s">
        <v>24</v>
      </c>
    </row>
    <row r="3" spans="1:6" ht="31.8" customHeight="1" x14ac:dyDescent="0.3">
      <c r="A3" s="9">
        <v>2</v>
      </c>
      <c r="B3" s="11" t="s">
        <v>45</v>
      </c>
      <c r="C3" s="11" t="s">
        <v>25</v>
      </c>
    </row>
    <row r="4" spans="1:6" ht="28.8" x14ac:dyDescent="0.3">
      <c r="A4" s="9">
        <v>3</v>
      </c>
      <c r="B4" s="11" t="s">
        <v>46</v>
      </c>
      <c r="C4" s="11" t="s">
        <v>47</v>
      </c>
    </row>
    <row r="5" spans="1:6" x14ac:dyDescent="0.3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4" t="s">
        <v>59</v>
      </c>
    </row>
    <row r="6" spans="1:6" x14ac:dyDescent="0.3">
      <c r="A6" s="1" t="s">
        <v>5</v>
      </c>
      <c r="B6" s="1" t="s">
        <v>6</v>
      </c>
      <c r="C6" s="1" t="s">
        <v>7</v>
      </c>
      <c r="D6" s="3">
        <v>46296</v>
      </c>
      <c r="E6" s="1" t="s">
        <v>8</v>
      </c>
      <c r="F6" s="15" t="str">
        <f>VLOOKUP(C6, DanhMucSach!A2:B2,2,FALSE)</f>
        <v>Lập Trình C Căn Bản</v>
      </c>
    </row>
    <row r="7" spans="1:6" x14ac:dyDescent="0.3">
      <c r="A7" s="1" t="s">
        <v>9</v>
      </c>
      <c r="B7" s="1" t="s">
        <v>10</v>
      </c>
      <c r="C7" s="1" t="s">
        <v>11</v>
      </c>
      <c r="D7" s="3">
        <v>46298</v>
      </c>
      <c r="E7" s="1" t="s">
        <v>12</v>
      </c>
      <c r="F7" t="str">
        <f>VLOOKUP(C7,DanhMucSach!A3:B3,2,FALSE)</f>
        <v>Giải Tích 1</v>
      </c>
    </row>
    <row r="8" spans="1:6" x14ac:dyDescent="0.3">
      <c r="A8" s="1" t="s">
        <v>14</v>
      </c>
      <c r="B8" s="1" t="s">
        <v>15</v>
      </c>
      <c r="C8" s="1" t="s">
        <v>16</v>
      </c>
      <c r="D8" s="3">
        <v>46305</v>
      </c>
      <c r="E8" s="1" t="s">
        <v>17</v>
      </c>
      <c r="F8" t="str">
        <f>VLOOKUP(C8,DanhMucSach!A4:B4,2,FALSE)</f>
        <v>Kỹ Năng Mềm</v>
      </c>
    </row>
    <row r="9" spans="1:6" x14ac:dyDescent="0.3">
      <c r="A9" s="1" t="s">
        <v>18</v>
      </c>
      <c r="B9" s="1" t="s">
        <v>19</v>
      </c>
      <c r="C9" s="1" t="s">
        <v>20</v>
      </c>
      <c r="D9" s="3">
        <v>46307</v>
      </c>
      <c r="E9" s="1" t="s">
        <v>8</v>
      </c>
      <c r="F9" t="str">
        <f>IFERROR(VLOOKUP(C9,DanhMucSach!A4:B4,2,FALSE), "không tìm thấy")</f>
        <v>không tìm thấy</v>
      </c>
    </row>
    <row r="11" spans="1:6" x14ac:dyDescent="0.3">
      <c r="A11" s="2" t="s">
        <v>13</v>
      </c>
      <c r="E11" s="4">
        <f>COUNTA(A6:A9)</f>
        <v>4</v>
      </c>
    </row>
    <row r="12" spans="1:6" x14ac:dyDescent="0.3">
      <c r="A12" s="5" t="s">
        <v>12</v>
      </c>
      <c r="E12" s="6">
        <f>COUNTIF(E6:E9,"Quá hạn")</f>
        <v>1</v>
      </c>
    </row>
    <row r="14" spans="1:6" ht="15.6" x14ac:dyDescent="0.3">
      <c r="A14" s="7" t="s">
        <v>48</v>
      </c>
    </row>
    <row r="15" spans="1:6" x14ac:dyDescent="0.3">
      <c r="A15" s="8" t="s">
        <v>26</v>
      </c>
      <c r="B15" s="8" t="s">
        <v>27</v>
      </c>
      <c r="C15" s="8" t="s">
        <v>28</v>
      </c>
    </row>
    <row r="16" spans="1:6" ht="27.6" x14ac:dyDescent="0.3">
      <c r="A16" s="13" t="s">
        <v>29</v>
      </c>
      <c r="B16" s="13" t="s">
        <v>30</v>
      </c>
      <c r="C16" s="13" t="s">
        <v>31</v>
      </c>
    </row>
    <row r="17" spans="1:3" ht="27.6" x14ac:dyDescent="0.3">
      <c r="A17" s="13" t="s">
        <v>32</v>
      </c>
      <c r="B17" s="13" t="s">
        <v>33</v>
      </c>
      <c r="C17" s="13" t="s">
        <v>34</v>
      </c>
    </row>
    <row r="19" spans="1:3" ht="15.6" x14ac:dyDescent="0.3">
      <c r="A19" s="7" t="s">
        <v>49</v>
      </c>
    </row>
    <row r="20" spans="1:3" x14ac:dyDescent="0.3">
      <c r="A20" s="2" t="s">
        <v>35</v>
      </c>
      <c r="B20" s="5" t="s">
        <v>36</v>
      </c>
    </row>
    <row r="21" spans="1:3" x14ac:dyDescent="0.3">
      <c r="A21" s="2" t="s">
        <v>37</v>
      </c>
      <c r="B21" s="5" t="s">
        <v>38</v>
      </c>
    </row>
    <row r="22" spans="1:3" x14ac:dyDescent="0.3">
      <c r="A22" s="2" t="s">
        <v>39</v>
      </c>
      <c r="B22" s="5" t="s">
        <v>40</v>
      </c>
    </row>
    <row r="23" spans="1:3" x14ac:dyDescent="0.3">
      <c r="A23" s="2" t="s">
        <v>41</v>
      </c>
      <c r="B23" s="5" t="s">
        <v>50</v>
      </c>
    </row>
    <row r="24" spans="1:3" x14ac:dyDescent="0.3">
      <c r="A24" s="2" t="s">
        <v>42</v>
      </c>
      <c r="B24" s="5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73ED-0210-45EE-8A3B-664AD22A612A}">
  <dimension ref="A1:C4"/>
  <sheetViews>
    <sheetView workbookViewId="0">
      <selection activeCell="C6" sqref="C6"/>
    </sheetView>
  </sheetViews>
  <sheetFormatPr defaultRowHeight="14.4" x14ac:dyDescent="0.3"/>
  <cols>
    <col min="1" max="1" width="12.88671875" customWidth="1"/>
    <col min="2" max="2" width="37.77734375" customWidth="1"/>
    <col min="3" max="3" width="48.21875" customWidth="1"/>
  </cols>
  <sheetData>
    <row r="1" spans="1:3" x14ac:dyDescent="0.3">
      <c r="A1" s="10" t="s">
        <v>2</v>
      </c>
      <c r="B1" s="10" t="s">
        <v>51</v>
      </c>
      <c r="C1" s="10" t="s">
        <v>52</v>
      </c>
    </row>
    <row r="2" spans="1:3" x14ac:dyDescent="0.3">
      <c r="A2" s="9" t="s">
        <v>7</v>
      </c>
      <c r="B2" s="11" t="s">
        <v>53</v>
      </c>
      <c r="C2" s="11" t="s">
        <v>54</v>
      </c>
    </row>
    <row r="3" spans="1:3" x14ac:dyDescent="0.3">
      <c r="A3" s="9" t="s">
        <v>11</v>
      </c>
      <c r="B3" s="11" t="s">
        <v>55</v>
      </c>
      <c r="C3" s="11" t="s">
        <v>56</v>
      </c>
    </row>
    <row r="4" spans="1:3" x14ac:dyDescent="0.3">
      <c r="A4" s="9" t="s">
        <v>16</v>
      </c>
      <c r="B4" s="11" t="s">
        <v>57</v>
      </c>
      <c r="C4" s="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Vinh Quốc</cp:lastModifiedBy>
  <cp:revision>0</cp:revision>
  <dcterms:created xsi:type="dcterms:W3CDTF">2026-10-24T18:33:43Z</dcterms:created>
  <dcterms:modified xsi:type="dcterms:W3CDTF">2026-10-24T20:06:00Z</dcterms:modified>
  <dc:language>en-US</dc:language>
</cp:coreProperties>
</file>